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ckpropagation" sheetId="1" state="visible" r:id="rId3"/>
    <sheet name="Formula 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<sst xmlns="http://schemas.openxmlformats.org/spreadsheetml/2006/main" count="262" uniqueCount="207">
  <si>
    <t xml:space="preserve">BACKPROPAGATION – 2 INPUT → 2 HIDDEN → 1 OUTPUT</t>
  </si>
  <si>
    <t xml:space="preserve">Based on your network diagram. No bias terms are included because the diagram shows only X1, X2, H1, H2, O1 and W1–W6.</t>
  </si>
  <si>
    <t xml:space="preserve">1. INPUTS / INITIAL WEIGHTS</t>
  </si>
  <si>
    <t xml:space="preserve">NETWORK MAPPING</t>
  </si>
  <si>
    <t xml:space="preserve">Parameter</t>
  </si>
  <si>
    <t xml:space="preserve">Value</t>
  </si>
  <si>
    <t xml:space="preserve">Connection / Meaning</t>
  </si>
  <si>
    <t xml:space="preserve">Weight</t>
  </si>
  <si>
    <t xml:space="preserve">From</t>
  </si>
  <si>
    <t xml:space="preserve">To</t>
  </si>
  <si>
    <t xml:space="preserve">X1</t>
  </si>
  <si>
    <t xml:space="preserve">Input 1</t>
  </si>
  <si>
    <t xml:space="preserve">W1</t>
  </si>
  <si>
    <t xml:space="preserve">H1</t>
  </si>
  <si>
    <t xml:space="preserve">X2</t>
  </si>
  <si>
    <t xml:space="preserve">Input 2</t>
  </si>
  <si>
    <t xml:space="preserve">W2</t>
  </si>
  <si>
    <t xml:space="preserve">H2</t>
  </si>
  <si>
    <t xml:space="preserve">X1 → H1</t>
  </si>
  <si>
    <t xml:space="preserve">W3</t>
  </si>
  <si>
    <t xml:space="preserve">X1 → H2</t>
  </si>
  <si>
    <t xml:space="preserve">W4</t>
  </si>
  <si>
    <t xml:space="preserve">X2 → H1</t>
  </si>
  <si>
    <t xml:space="preserve">W5</t>
  </si>
  <si>
    <t xml:space="preserve">O1</t>
  </si>
  <si>
    <t xml:space="preserve">X2 → H2</t>
  </si>
  <si>
    <t xml:space="preserve">W6</t>
  </si>
  <si>
    <t xml:space="preserve">H1 → O1</t>
  </si>
  <si>
    <t xml:space="preserve">H2 → O1</t>
  </si>
  <si>
    <t xml:space="preserve">Target</t>
  </si>
  <si>
    <t xml:space="preserve">Desired O1</t>
  </si>
  <si>
    <t xml:space="preserve">Learning Rate</t>
  </si>
  <si>
    <t xml:space="preserve">η</t>
  </si>
  <si>
    <t xml:space="preserve">2. FORWARD PROPAGATION</t>
  </si>
  <si>
    <t xml:space="preserve">Step</t>
  </si>
  <si>
    <t xml:space="preserve">Calculation</t>
  </si>
  <si>
    <t xml:space="preserve">Excel Formula</t>
  </si>
  <si>
    <t xml:space="preserve">Result</t>
  </si>
  <si>
    <t xml:space="preserve">Why / Explanation</t>
  </si>
  <si>
    <t xml:space="preserve">2.1</t>
  </si>
  <si>
    <t xml:space="preserve">W1×X1</t>
  </si>
  <si>
    <t xml:space="preserve">Contribution from X1 to H1</t>
  </si>
  <si>
    <t xml:space="preserve">2.2</t>
  </si>
  <si>
    <t xml:space="preserve">W3×X2</t>
  </si>
  <si>
    <t xml:space="preserve">Contribution from X2 to H1</t>
  </si>
  <si>
    <t xml:space="preserve">2.3</t>
  </si>
  <si>
    <t xml:space="preserve">Net H1</t>
  </si>
  <si>
    <t xml:space="preserve">Net input to H1</t>
  </si>
  <si>
    <t xml:space="preserve">2.4</t>
  </si>
  <si>
    <t xml:space="preserve">Output H1</t>
  </si>
  <si>
    <t xml:space="preserve">Sigmoid(Net H1)</t>
  </si>
  <si>
    <t xml:space="preserve">2.5</t>
  </si>
  <si>
    <t xml:space="preserve">W2×X1</t>
  </si>
  <si>
    <t xml:space="preserve">Contribution from X1 to H2</t>
  </si>
  <si>
    <t xml:space="preserve">2.6</t>
  </si>
  <si>
    <t xml:space="preserve">W4×X2</t>
  </si>
  <si>
    <t xml:space="preserve">Contribution from X2 to H2</t>
  </si>
  <si>
    <t xml:space="preserve">2.7</t>
  </si>
  <si>
    <t xml:space="preserve">Net H2</t>
  </si>
  <si>
    <t xml:space="preserve">Net input to H2</t>
  </si>
  <si>
    <t xml:space="preserve">2.8</t>
  </si>
  <si>
    <t xml:space="preserve">Output H2</t>
  </si>
  <si>
    <t xml:space="preserve">Sigmoid(Net H2)</t>
  </si>
  <si>
    <t xml:space="preserve">2.9</t>
  </si>
  <si>
    <t xml:space="preserve">W5×H1</t>
  </si>
  <si>
    <t xml:space="preserve">Contribution from H1 to O1</t>
  </si>
  <si>
    <t xml:space="preserve">2.10</t>
  </si>
  <si>
    <t xml:space="preserve">W6×H2</t>
  </si>
  <si>
    <t xml:space="preserve">Contribution from H2 to O1</t>
  </si>
  <si>
    <t xml:space="preserve">2.11</t>
  </si>
  <si>
    <t xml:space="preserve">Net O1</t>
  </si>
  <si>
    <t xml:space="preserve">Net input to O1</t>
  </si>
  <si>
    <t xml:space="preserve">2.12</t>
  </si>
  <si>
    <t xml:space="preserve">Output O1</t>
  </si>
  <si>
    <t xml:space="preserve">Final prediction</t>
  </si>
  <si>
    <t xml:space="preserve">3. ERROR / LOSS</t>
  </si>
  <si>
    <t xml:space="preserve">3.1</t>
  </si>
  <si>
    <t xml:space="preserve">Desired value</t>
  </si>
  <si>
    <t xml:space="preserve">3.2</t>
  </si>
  <si>
    <t xml:space="preserve">Prediction O1</t>
  </si>
  <si>
    <t xml:space="preserve">Network output</t>
  </si>
  <si>
    <t xml:space="preserve">3.3</t>
  </si>
  <si>
    <t xml:space="preserve">Error (O1 − Target)</t>
  </si>
  <si>
    <t xml:space="preserve">Signed error</t>
  </si>
  <si>
    <t xml:space="preserve">3.4</t>
  </si>
  <si>
    <t xml:space="preserve">Loss E = 1/2(Target − O1)^2</t>
  </si>
  <si>
    <t xml:space="preserve">Objective to minimize</t>
  </si>
  <si>
    <t xml:space="preserve">4. BACKPROPAGATION – OUTPUT LAYER</t>
  </si>
  <si>
    <t xml:space="preserve">Quantity</t>
  </si>
  <si>
    <t xml:space="preserve">Formula</t>
  </si>
  <si>
    <t xml:space="preserve">Explanation</t>
  </si>
  <si>
    <t xml:space="preserve">4.1</t>
  </si>
  <si>
    <t xml:space="preserve">∂E/∂O1</t>
  </si>
  <si>
    <t xml:space="preserve">For E=1/2(Target−O1)^2</t>
  </si>
  <si>
    <t xml:space="preserve">4.2</t>
  </si>
  <si>
    <t xml:space="preserve">O1(1−O1)</t>
  </si>
  <si>
    <t xml:space="preserve">Sigmoid derivative</t>
  </si>
  <si>
    <t xml:space="preserve">4.3</t>
  </si>
  <si>
    <t xml:space="preserve">δO1 = ∂E/∂NetO1</t>
  </si>
  <si>
    <t xml:space="preserve">Output error signal</t>
  </si>
  <si>
    <t xml:space="preserve">4.4</t>
  </si>
  <si>
    <t xml:space="preserve">∂E/∂W5</t>
  </si>
  <si>
    <t xml:space="preserve">δO1 × H1</t>
  </si>
  <si>
    <t xml:space="preserve">4.5</t>
  </si>
  <si>
    <t xml:space="preserve">∂E/∂W6</t>
  </si>
  <si>
    <t xml:space="preserve">δO1 × H2</t>
  </si>
  <si>
    <t xml:space="preserve">5. BACKPROPAGATION – HIDDEN LAYER</t>
  </si>
  <si>
    <t xml:space="preserve">5.1</t>
  </si>
  <si>
    <t xml:space="preserve">∂E/∂H1</t>
  </si>
  <si>
    <t xml:space="preserve">δO1 × W5</t>
  </si>
  <si>
    <t xml:space="preserve">5.2</t>
  </si>
  <si>
    <t xml:space="preserve">H1(1−H1)</t>
  </si>
  <si>
    <t xml:space="preserve">5.3</t>
  </si>
  <si>
    <t xml:space="preserve">δH1 = ∂E/∂NetH1</t>
  </si>
  <si>
    <t xml:space="preserve">Hidden H1 error signal</t>
  </si>
  <si>
    <t xml:space="preserve">5.4</t>
  </si>
  <si>
    <t xml:space="preserve">∂E/∂W1</t>
  </si>
  <si>
    <t xml:space="preserve">δH1 × X1</t>
  </si>
  <si>
    <t xml:space="preserve">5.5</t>
  </si>
  <si>
    <t xml:space="preserve">∂E/∂W3</t>
  </si>
  <si>
    <t xml:space="preserve">δH1 × X2</t>
  </si>
  <si>
    <t xml:space="preserve">5.6</t>
  </si>
  <si>
    <t xml:space="preserve">∂E/∂H2</t>
  </si>
  <si>
    <t xml:space="preserve">δO1 × W6</t>
  </si>
  <si>
    <t xml:space="preserve">5.7</t>
  </si>
  <si>
    <t xml:space="preserve">H2(1−H2)</t>
  </si>
  <si>
    <t xml:space="preserve">5.8</t>
  </si>
  <si>
    <t xml:space="preserve">δH2 = ∂E/∂NetH2</t>
  </si>
  <si>
    <t xml:space="preserve">Hidden H2 error signal</t>
  </si>
  <si>
    <t xml:space="preserve">5.9</t>
  </si>
  <si>
    <t xml:space="preserve">∂E/∂W2</t>
  </si>
  <si>
    <t xml:space="preserve">δH2 × X1</t>
  </si>
  <si>
    <t xml:space="preserve">5.10</t>
  </si>
  <si>
    <t xml:space="preserve">∂E/∂W4</t>
  </si>
  <si>
    <t xml:space="preserve">δH2 × X2</t>
  </si>
  <si>
    <t xml:space="preserve">6. WEIGHT UPDATE – GRADIENT DESCENT</t>
  </si>
  <si>
    <t xml:space="preserve">Old Weight</t>
  </si>
  <si>
    <t xml:space="preserve">Gradient ∂E/∂W</t>
  </si>
  <si>
    <t xml:space="preserve">Learning Rate η</t>
  </si>
  <si>
    <t xml:space="preserve">New Weight</t>
  </si>
  <si>
    <t xml:space="preserve">Update formula</t>
  </si>
  <si>
    <t xml:space="preserve">Wnew = Wold − η×gradient</t>
  </si>
  <si>
    <t xml:space="preserve">7. FORWARD PROPAGATION AFTER WEIGHT UPDATE</t>
  </si>
  <si>
    <t xml:space="preserve">7.1</t>
  </si>
  <si>
    <t xml:space="preserve">New Net H1</t>
  </si>
  <si>
    <t xml:space="preserve">X1×new W1 + X2×new W3</t>
  </si>
  <si>
    <t xml:space="preserve">7.2</t>
  </si>
  <si>
    <t xml:space="preserve">New H1</t>
  </si>
  <si>
    <t xml:space="preserve">Sigmoid</t>
  </si>
  <si>
    <t xml:space="preserve">7.3</t>
  </si>
  <si>
    <t xml:space="preserve">New Net H2</t>
  </si>
  <si>
    <t xml:space="preserve">X1×new W2 + X2×new W4</t>
  </si>
  <si>
    <t xml:space="preserve">7.4</t>
  </si>
  <si>
    <t xml:space="preserve">New H2</t>
  </si>
  <si>
    <t xml:space="preserve">7.5</t>
  </si>
  <si>
    <t xml:space="preserve">New Net O1</t>
  </si>
  <si>
    <t xml:space="preserve">H1×new W5 + H2×new W6</t>
  </si>
  <si>
    <t xml:space="preserve">7.6</t>
  </si>
  <si>
    <t xml:space="preserve">New Prediction O1</t>
  </si>
  <si>
    <t xml:space="preserve">Sigmoid output</t>
  </si>
  <si>
    <t xml:space="preserve">7.7</t>
  </si>
  <si>
    <t xml:space="preserve">New Loss</t>
  </si>
  <si>
    <t xml:space="preserve">Compare with old loss</t>
  </si>
  <si>
    <t xml:space="preserve">8. BEFORE vs AFTER</t>
  </si>
  <si>
    <t xml:space="preserve">Metric</t>
  </si>
  <si>
    <t xml:space="preserve">Before Update</t>
  </si>
  <si>
    <t xml:space="preserve">After Update</t>
  </si>
  <si>
    <t xml:space="preserve">Change</t>
  </si>
  <si>
    <t xml:space="preserve">Interpretation</t>
  </si>
  <si>
    <t xml:space="preserve">Prediction</t>
  </si>
  <si>
    <t xml:space="preserve">Closer to target 1.0 is better</t>
  </si>
  <si>
    <t xml:space="preserve">Loss</t>
  </si>
  <si>
    <t xml:space="preserve">Lower loss is better</t>
  </si>
  <si>
    <t xml:space="preserve">BACKPROPAGATION FLOW: Forward Pass → Loss → Chain Rule → Gradients → Weight Update → Forward Pass Again</t>
  </si>
  <si>
    <t xml:space="preserve">Backpropagation Formula Guide</t>
  </si>
  <si>
    <t xml:space="preserve">Stage</t>
  </si>
  <si>
    <t xml:space="preserve">Meaning</t>
  </si>
  <si>
    <t xml:space="preserve">Used for</t>
  </si>
  <si>
    <t xml:space="preserve">Hidden Net</t>
  </si>
  <si>
    <t xml:space="preserve">NetH1 = X1W1 + X2W3</t>
  </si>
  <si>
    <t xml:space="preserve">Weighted sum at H1</t>
  </si>
  <si>
    <t xml:space="preserve">Forward pass</t>
  </si>
  <si>
    <t xml:space="preserve">Hidden Output</t>
  </si>
  <si>
    <t xml:space="preserve">H1 = 1/(1+e^-NetH1)</t>
  </si>
  <si>
    <t xml:space="preserve">Sigmoid activation</t>
  </si>
  <si>
    <t xml:space="preserve">Output Net</t>
  </si>
  <si>
    <t xml:space="preserve">NetO1 = H1W5 + H2W6</t>
  </si>
  <si>
    <t xml:space="preserve">Weighted sum at O1</t>
  </si>
  <si>
    <t xml:space="preserve">Output</t>
  </si>
  <si>
    <t xml:space="preserve">O1 = 1/(1+e^-NetO1)</t>
  </si>
  <si>
    <t xml:space="preserve">E = 1/2(Target−O1)^2</t>
  </si>
  <si>
    <t xml:space="preserve">Prediction error</t>
  </si>
  <si>
    <t xml:space="preserve">f'(z)=f(z)(1−f(z))</t>
  </si>
  <si>
    <t xml:space="preserve">Derivative of sigmoid</t>
  </si>
  <si>
    <t xml:space="preserve">Backprop</t>
  </si>
  <si>
    <t xml:space="preserve">Output delta</t>
  </si>
  <si>
    <t xml:space="preserve">δO1=(O1−Target)×O1(1−O1)</t>
  </si>
  <si>
    <t xml:space="preserve">Weight gradient</t>
  </si>
  <si>
    <t xml:space="preserve">∂E/∂W5 = δO1×H1</t>
  </si>
  <si>
    <t xml:space="preserve">How W5 affects error</t>
  </si>
  <si>
    <t xml:space="preserve">Hidden delta</t>
  </si>
  <si>
    <t xml:space="preserve">δH1=δO1×W5×H1(1−H1)</t>
  </si>
  <si>
    <t xml:space="preserve">Error passed to H1</t>
  </si>
  <si>
    <t xml:space="preserve">Weight update</t>
  </si>
  <si>
    <t xml:space="preserve">Wnew=Wold−η×∂E/∂W</t>
  </si>
  <si>
    <t xml:space="preserve">Gradient descent</t>
  </si>
  <si>
    <t xml:space="preserve">Learning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</si>
</sst>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FF5B9BD5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5B9BD5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25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true" outlineLevel="0" collapsed="false">
      <c r="A4" s="4" t="s">
        <v>2</v>
      </c>
      <c r="B4" s="4"/>
      <c r="C4" s="4"/>
      <c r="D4" s="2"/>
      <c r="E4" s="4" t="s">
        <v>3</v>
      </c>
      <c r="F4" s="4"/>
      <c r="G4" s="2"/>
    </row>
    <row r="5" customFormat="false" ht="15" hidden="false" customHeight="false" outlineLevel="0" collapsed="false">
      <c r="A5" s="5" t="s">
        <v>4</v>
      </c>
      <c r="B5" s="5" t="s">
        <v>5</v>
      </c>
      <c r="C5" s="5" t="s">
        <v>6</v>
      </c>
      <c r="D5" s="2"/>
      <c r="E5" s="5" t="s">
        <v>7</v>
      </c>
      <c r="F5" s="5" t="s">
        <v>8</v>
      </c>
      <c r="G5" s="5" t="s">
        <v>9</v>
      </c>
    </row>
    <row r="6" customFormat="false" ht="15" hidden="false" customHeight="false" outlineLevel="0" collapsed="false">
      <c r="A6" s="6" t="s">
        <v>10</v>
      </c>
      <c r="B6" s="7" t="n">
        <v>0.5</v>
      </c>
      <c r="C6" s="6" t="s">
        <v>11</v>
      </c>
      <c r="D6" s="2"/>
      <c r="E6" s="6" t="s">
        <v>12</v>
      </c>
      <c r="F6" s="6" t="s">
        <v>10</v>
      </c>
      <c r="G6" s="6" t="s">
        <v>13</v>
      </c>
    </row>
    <row r="7" customFormat="false" ht="15" hidden="false" customHeight="false" outlineLevel="0" collapsed="false">
      <c r="A7" s="6" t="s">
        <v>14</v>
      </c>
      <c r="B7" s="7" t="n">
        <v>0.3</v>
      </c>
      <c r="C7" s="6" t="s">
        <v>15</v>
      </c>
      <c r="D7" s="2"/>
      <c r="E7" s="6" t="s">
        <v>16</v>
      </c>
      <c r="F7" s="6" t="s">
        <v>10</v>
      </c>
      <c r="G7" s="6" t="s">
        <v>17</v>
      </c>
    </row>
    <row r="8" customFormat="false" ht="15" hidden="false" customHeight="false" outlineLevel="0" collapsed="false">
      <c r="A8" s="6" t="s">
        <v>12</v>
      </c>
      <c r="B8" s="7" t="n">
        <v>0.4</v>
      </c>
      <c r="C8" s="6" t="s">
        <v>18</v>
      </c>
      <c r="D8" s="2"/>
      <c r="E8" s="6" t="s">
        <v>19</v>
      </c>
      <c r="F8" s="6" t="s">
        <v>14</v>
      </c>
      <c r="G8" s="6" t="s">
        <v>13</v>
      </c>
    </row>
    <row r="9" customFormat="false" ht="15" hidden="false" customHeight="false" outlineLevel="0" collapsed="false">
      <c r="A9" s="6" t="s">
        <v>16</v>
      </c>
      <c r="B9" s="7" t="n">
        <v>0.6</v>
      </c>
      <c r="C9" s="6" t="s">
        <v>20</v>
      </c>
      <c r="D9" s="2"/>
      <c r="E9" s="6" t="s">
        <v>21</v>
      </c>
      <c r="F9" s="6" t="s">
        <v>14</v>
      </c>
      <c r="G9" s="6" t="s">
        <v>17</v>
      </c>
    </row>
    <row r="10" customFormat="false" ht="15" hidden="false" customHeight="false" outlineLevel="0" collapsed="false">
      <c r="A10" s="6" t="s">
        <v>19</v>
      </c>
      <c r="B10" s="7" t="n">
        <v>0.7</v>
      </c>
      <c r="C10" s="6" t="s">
        <v>22</v>
      </c>
      <c r="D10" s="2"/>
      <c r="E10" s="6" t="s">
        <v>23</v>
      </c>
      <c r="F10" s="6" t="s">
        <v>13</v>
      </c>
      <c r="G10" s="6" t="s">
        <v>24</v>
      </c>
    </row>
    <row r="11" customFormat="false" ht="15" hidden="false" customHeight="false" outlineLevel="0" collapsed="false">
      <c r="A11" s="6" t="s">
        <v>21</v>
      </c>
      <c r="B11" s="7" t="n">
        <v>0.5</v>
      </c>
      <c r="C11" s="6" t="s">
        <v>25</v>
      </c>
      <c r="D11" s="2"/>
      <c r="E11" s="6" t="s">
        <v>26</v>
      </c>
      <c r="F11" s="6" t="s">
        <v>17</v>
      </c>
      <c r="G11" s="6" t="s">
        <v>24</v>
      </c>
    </row>
    <row r="12" customFormat="false" ht="15" hidden="false" customHeight="false" outlineLevel="0" collapsed="false">
      <c r="A12" s="6" t="s">
        <v>23</v>
      </c>
      <c r="B12" s="7" t="n">
        <v>0.8</v>
      </c>
      <c r="C12" s="6" t="s">
        <v>27</v>
      </c>
      <c r="D12" s="2"/>
      <c r="E12" s="2"/>
      <c r="F12" s="2"/>
      <c r="G12" s="2"/>
    </row>
    <row r="13" customFormat="false" ht="15" hidden="false" customHeight="false" outlineLevel="0" collapsed="false">
      <c r="A13" s="6" t="s">
        <v>26</v>
      </c>
      <c r="B13" s="7" t="n">
        <v>0.9</v>
      </c>
      <c r="C13" s="6" t="s">
        <v>28</v>
      </c>
      <c r="D13" s="2"/>
      <c r="E13" s="2"/>
      <c r="F13" s="2"/>
      <c r="G13" s="2"/>
    </row>
    <row r="14" customFormat="false" ht="15" hidden="false" customHeight="false" outlineLevel="0" collapsed="false">
      <c r="A14" s="6" t="s">
        <v>29</v>
      </c>
      <c r="B14" s="7" t="n">
        <v>1</v>
      </c>
      <c r="C14" s="6" t="s">
        <v>30</v>
      </c>
      <c r="D14" s="2"/>
      <c r="E14" s="2"/>
      <c r="F14" s="2"/>
      <c r="G14" s="2"/>
    </row>
    <row r="15" customFormat="false" ht="28.35" hidden="false" customHeight="false" outlineLevel="0" collapsed="false">
      <c r="A15" s="6" t="s">
        <v>31</v>
      </c>
      <c r="B15" s="7" t="n">
        <v>0.1</v>
      </c>
      <c r="C15" s="6" t="s">
        <v>32</v>
      </c>
      <c r="D15" s="2"/>
      <c r="E15" s="2"/>
      <c r="F15" s="2"/>
      <c r="G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15" hidden="false" customHeight="true" outlineLevel="0" collapsed="false">
      <c r="A18" s="4" t="s">
        <v>33</v>
      </c>
      <c r="B18" s="4"/>
      <c r="C18" s="4"/>
      <c r="D18" s="4"/>
      <c r="E18" s="4"/>
      <c r="F18" s="4"/>
      <c r="G18" s="2"/>
    </row>
    <row r="19" customFormat="false" ht="15" hidden="false" customHeight="false" outlineLevel="0" collapsed="false">
      <c r="A19" s="5" t="s">
        <v>34</v>
      </c>
      <c r="B19" s="5" t="s">
        <v>35</v>
      </c>
      <c r="C19" s="5" t="s">
        <v>36</v>
      </c>
      <c r="D19" s="5" t="s">
        <v>37</v>
      </c>
      <c r="E19" s="5" t="s">
        <v>38</v>
      </c>
      <c r="F19" s="5"/>
      <c r="G19" s="2"/>
    </row>
    <row r="20" customFormat="false" ht="15" hidden="false" customHeight="false" outlineLevel="0" collapsed="false">
      <c r="A20" s="6" t="s">
        <v>39</v>
      </c>
      <c r="B20" s="6" t="s">
        <v>40</v>
      </c>
      <c r="C20" s="7" t="n">
        <f aca="false">B8*B6</f>
        <v>0.2</v>
      </c>
      <c r="D20" s="7" t="n">
        <f aca="false">C20</f>
        <v>0.2</v>
      </c>
      <c r="E20" s="6" t="s">
        <v>41</v>
      </c>
      <c r="F20" s="2"/>
      <c r="G20" s="2"/>
    </row>
    <row r="21" customFormat="false" ht="15" hidden="false" customHeight="false" outlineLevel="0" collapsed="false">
      <c r="A21" s="6" t="s">
        <v>42</v>
      </c>
      <c r="B21" s="6" t="s">
        <v>43</v>
      </c>
      <c r="C21" s="7" t="n">
        <f aca="false">B10*B7</f>
        <v>0.21</v>
      </c>
      <c r="D21" s="7" t="n">
        <f aca="false">C21</f>
        <v>0.21</v>
      </c>
      <c r="E21" s="6" t="s">
        <v>44</v>
      </c>
      <c r="F21" s="2"/>
      <c r="G21" s="2"/>
    </row>
    <row r="22" customFormat="false" ht="15" hidden="false" customHeight="false" outlineLevel="0" collapsed="false">
      <c r="A22" s="6" t="s">
        <v>45</v>
      </c>
      <c r="B22" s="6" t="s">
        <v>46</v>
      </c>
      <c r="C22" s="7" t="n">
        <f aca="false">C20+C21</f>
        <v>0.41</v>
      </c>
      <c r="D22" s="7" t="n">
        <f aca="false">C22</f>
        <v>0.41</v>
      </c>
      <c r="E22" s="6" t="s">
        <v>47</v>
      </c>
      <c r="F22" s="2"/>
      <c r="G22" s="2"/>
    </row>
    <row r="23" customFormat="false" ht="15" hidden="false" customHeight="false" outlineLevel="0" collapsed="false">
      <c r="A23" s="6" t="s">
        <v>48</v>
      </c>
      <c r="B23" s="6" t="s">
        <v>49</v>
      </c>
      <c r="C23" s="7" t="n">
        <f aca="false">1/(1+EXP(-C22))</f>
        <v>0.60108787884837</v>
      </c>
      <c r="D23" s="7" t="n">
        <f aca="false">C23</f>
        <v>0.60108787884837</v>
      </c>
      <c r="E23" s="6" t="s">
        <v>50</v>
      </c>
      <c r="F23" s="2"/>
      <c r="G23" s="2"/>
    </row>
    <row r="24" customFormat="false" ht="15" hidden="false" customHeight="false" outlineLevel="0" collapsed="false">
      <c r="A24" s="6" t="s">
        <v>51</v>
      </c>
      <c r="B24" s="6" t="s">
        <v>52</v>
      </c>
      <c r="C24" s="7" t="n">
        <f aca="false">B9*B6</f>
        <v>0.3</v>
      </c>
      <c r="D24" s="7" t="n">
        <f aca="false">C24</f>
        <v>0.3</v>
      </c>
      <c r="E24" s="6" t="s">
        <v>53</v>
      </c>
      <c r="F24" s="2"/>
      <c r="G24" s="2"/>
    </row>
    <row r="25" customFormat="false" ht="15" hidden="false" customHeight="false" outlineLevel="0" collapsed="false">
      <c r="A25" s="6" t="s">
        <v>54</v>
      </c>
      <c r="B25" s="6" t="s">
        <v>55</v>
      </c>
      <c r="C25" s="7" t="n">
        <f aca="false">B11*B7</f>
        <v>0.15</v>
      </c>
      <c r="D25" s="7" t="n">
        <f aca="false">C25</f>
        <v>0.15</v>
      </c>
      <c r="E25" s="6" t="s">
        <v>56</v>
      </c>
      <c r="F25" s="2"/>
      <c r="G25" s="2"/>
    </row>
    <row r="26" customFormat="false" ht="15" hidden="false" customHeight="false" outlineLevel="0" collapsed="false">
      <c r="A26" s="6" t="s">
        <v>57</v>
      </c>
      <c r="B26" s="6" t="s">
        <v>58</v>
      </c>
      <c r="C26" s="7" t="n">
        <f aca="false">C24+C25</f>
        <v>0.45</v>
      </c>
      <c r="D26" s="7" t="n">
        <f aca="false">C26</f>
        <v>0.45</v>
      </c>
      <c r="E26" s="6" t="s">
        <v>59</v>
      </c>
      <c r="F26" s="2"/>
      <c r="G26" s="2"/>
    </row>
    <row r="27" customFormat="false" ht="15" hidden="false" customHeight="false" outlineLevel="0" collapsed="false">
      <c r="A27" s="6" t="s">
        <v>60</v>
      </c>
      <c r="B27" s="6" t="s">
        <v>61</v>
      </c>
      <c r="C27" s="7" t="n">
        <f aca="false">1/(1+EXP(-C26))</f>
        <v>0.610639233949222</v>
      </c>
      <c r="D27" s="7" t="n">
        <f aca="false">C27</f>
        <v>0.610639233949222</v>
      </c>
      <c r="E27" s="6" t="s">
        <v>62</v>
      </c>
      <c r="F27" s="2"/>
      <c r="G27" s="2"/>
    </row>
    <row r="28" customFormat="false" ht="15" hidden="false" customHeight="false" outlineLevel="0" collapsed="false">
      <c r="A28" s="6" t="s">
        <v>63</v>
      </c>
      <c r="B28" s="6" t="s">
        <v>64</v>
      </c>
      <c r="C28" s="7" t="n">
        <f aca="false">B12*C23</f>
        <v>0.480870303078696</v>
      </c>
      <c r="D28" s="7" t="n">
        <f aca="false">C28</f>
        <v>0.480870303078696</v>
      </c>
      <c r="E28" s="6" t="s">
        <v>65</v>
      </c>
      <c r="F28" s="2"/>
      <c r="G28" s="2"/>
    </row>
    <row r="29" customFormat="false" ht="15" hidden="false" customHeight="false" outlineLevel="0" collapsed="false">
      <c r="A29" s="6" t="s">
        <v>66</v>
      </c>
      <c r="B29" s="6" t="s">
        <v>67</v>
      </c>
      <c r="C29" s="7" t="n">
        <f aca="false">B13*C27</f>
        <v>0.5495753105543</v>
      </c>
      <c r="D29" s="7" t="n">
        <f aca="false">C29</f>
        <v>0.5495753105543</v>
      </c>
      <c r="E29" s="6" t="s">
        <v>68</v>
      </c>
      <c r="F29" s="2"/>
      <c r="G29" s="2"/>
    </row>
    <row r="30" customFormat="false" ht="15" hidden="false" customHeight="false" outlineLevel="0" collapsed="false">
      <c r="A30" s="6" t="s">
        <v>69</v>
      </c>
      <c r="B30" s="6" t="s">
        <v>70</v>
      </c>
      <c r="C30" s="7" t="n">
        <f aca="false">C28+C29</f>
        <v>1.030445613633</v>
      </c>
      <c r="D30" s="7" t="n">
        <f aca="false">C30</f>
        <v>1.030445613633</v>
      </c>
      <c r="E30" s="6" t="s">
        <v>71</v>
      </c>
      <c r="F30" s="2"/>
      <c r="G30" s="2"/>
    </row>
    <row r="31" customFormat="false" ht="15" hidden="false" customHeight="false" outlineLevel="0" collapsed="false">
      <c r="A31" s="6" t="s">
        <v>72</v>
      </c>
      <c r="B31" s="6" t="s">
        <v>73</v>
      </c>
      <c r="C31" s="7" t="n">
        <f aca="false">1/(1+EXP(-C30))</f>
        <v>0.737002278209848</v>
      </c>
      <c r="D31" s="7" t="n">
        <f aca="false">C31</f>
        <v>0.737002278209848</v>
      </c>
      <c r="E31" s="6" t="s">
        <v>74</v>
      </c>
      <c r="F31" s="2"/>
      <c r="G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</row>
    <row r="34" customFormat="false" ht="15" hidden="false" customHeight="true" outlineLevel="0" collapsed="false">
      <c r="A34" s="4" t="s">
        <v>75</v>
      </c>
      <c r="B34" s="4"/>
      <c r="C34" s="4"/>
      <c r="D34" s="4"/>
      <c r="E34" s="4"/>
      <c r="F34" s="4"/>
      <c r="G34" s="2"/>
    </row>
    <row r="35" customFormat="false" ht="15" hidden="false" customHeight="false" outlineLevel="0" collapsed="false">
      <c r="A35" s="6" t="s">
        <v>76</v>
      </c>
      <c r="B35" s="6" t="s">
        <v>29</v>
      </c>
      <c r="C35" s="7" t="n">
        <f aca="false">B14</f>
        <v>1</v>
      </c>
      <c r="D35" s="7" t="n">
        <f aca="false">C35</f>
        <v>1</v>
      </c>
      <c r="E35" s="6" t="s">
        <v>77</v>
      </c>
      <c r="F35" s="2"/>
      <c r="G35" s="2"/>
    </row>
    <row r="36" customFormat="false" ht="15" hidden="false" customHeight="false" outlineLevel="0" collapsed="false">
      <c r="A36" s="6" t="s">
        <v>78</v>
      </c>
      <c r="B36" s="6" t="s">
        <v>79</v>
      </c>
      <c r="C36" s="7" t="n">
        <f aca="false">C31</f>
        <v>0.737002278209848</v>
      </c>
      <c r="D36" s="7" t="n">
        <f aca="false">C36</f>
        <v>0.737002278209848</v>
      </c>
      <c r="E36" s="6" t="s">
        <v>80</v>
      </c>
      <c r="F36" s="2"/>
      <c r="G36" s="2"/>
    </row>
    <row r="37" customFormat="false" ht="15" hidden="false" customHeight="false" outlineLevel="0" collapsed="false">
      <c r="A37" s="6" t="s">
        <v>81</v>
      </c>
      <c r="B37" s="6" t="s">
        <v>82</v>
      </c>
      <c r="C37" s="7" t="n">
        <f aca="false">C36-C35</f>
        <v>-0.262997721790152</v>
      </c>
      <c r="D37" s="7" t="n">
        <f aca="false">C37</f>
        <v>-0.262997721790152</v>
      </c>
      <c r="E37" s="6" t="s">
        <v>83</v>
      </c>
      <c r="F37" s="2"/>
      <c r="G37" s="2"/>
    </row>
    <row r="38" customFormat="false" ht="15" hidden="false" customHeight="false" outlineLevel="0" collapsed="false">
      <c r="A38" s="6" t="s">
        <v>84</v>
      </c>
      <c r="B38" s="6" t="s">
        <v>85</v>
      </c>
      <c r="C38" s="7" t="n">
        <f aca="false">0.5*(C35-C36)^2</f>
        <v>0.0345839008334051</v>
      </c>
      <c r="D38" s="7" t="n">
        <f aca="false">C38</f>
        <v>0.0345839008334051</v>
      </c>
      <c r="E38" s="6" t="s">
        <v>86</v>
      </c>
      <c r="F38" s="2"/>
      <c r="G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</row>
    <row r="41" customFormat="false" ht="15" hidden="false" customHeight="true" outlineLevel="0" collapsed="false">
      <c r="A41" s="4" t="s">
        <v>87</v>
      </c>
      <c r="B41" s="4"/>
      <c r="C41" s="4"/>
      <c r="D41" s="4"/>
      <c r="E41" s="4"/>
      <c r="F41" s="4"/>
      <c r="G41" s="2"/>
    </row>
    <row r="42" customFormat="false" ht="15" hidden="false" customHeight="false" outlineLevel="0" collapsed="false">
      <c r="A42" s="5" t="s">
        <v>34</v>
      </c>
      <c r="B42" s="5" t="s">
        <v>88</v>
      </c>
      <c r="C42" s="5" t="s">
        <v>89</v>
      </c>
      <c r="D42" s="5" t="s">
        <v>37</v>
      </c>
      <c r="E42" s="5" t="s">
        <v>90</v>
      </c>
      <c r="F42" s="5"/>
      <c r="G42" s="2"/>
    </row>
    <row r="43" customFormat="false" ht="15" hidden="false" customHeight="false" outlineLevel="0" collapsed="false">
      <c r="A43" s="6" t="s">
        <v>91</v>
      </c>
      <c r="B43" s="6" t="s">
        <v>92</v>
      </c>
      <c r="C43" s="7" t="n">
        <f aca="false">C36-C35</f>
        <v>-0.262997721790152</v>
      </c>
      <c r="D43" s="7" t="n">
        <f aca="false">C43</f>
        <v>-0.262997721790152</v>
      </c>
      <c r="E43" s="6" t="s">
        <v>93</v>
      </c>
      <c r="F43" s="2"/>
      <c r="G43" s="2"/>
    </row>
    <row r="44" customFormat="false" ht="15" hidden="false" customHeight="false" outlineLevel="0" collapsed="false">
      <c r="A44" s="6" t="s">
        <v>94</v>
      </c>
      <c r="B44" s="6" t="s">
        <v>95</v>
      </c>
      <c r="C44" s="7" t="n">
        <f aca="false">C31*(1-C31)</f>
        <v>0.193829920123342</v>
      </c>
      <c r="D44" s="7" t="n">
        <f aca="false">C44</f>
        <v>0.193829920123342</v>
      </c>
      <c r="E44" s="6" t="s">
        <v>96</v>
      </c>
      <c r="F44" s="2"/>
      <c r="G44" s="2"/>
    </row>
    <row r="45" customFormat="false" ht="15" hidden="false" customHeight="false" outlineLevel="0" collapsed="false">
      <c r="A45" s="6" t="s">
        <v>97</v>
      </c>
      <c r="B45" s="6" t="s">
        <v>98</v>
      </c>
      <c r="C45" s="7" t="n">
        <f aca="false">C43*C44</f>
        <v>-0.050976827407206</v>
      </c>
      <c r="D45" s="7" t="n">
        <f aca="false">C45</f>
        <v>-0.050976827407206</v>
      </c>
      <c r="E45" s="6" t="s">
        <v>99</v>
      </c>
      <c r="F45" s="2"/>
      <c r="G45" s="2"/>
    </row>
    <row r="46" customFormat="false" ht="15" hidden="false" customHeight="false" outlineLevel="0" collapsed="false">
      <c r="A46" s="6" t="s">
        <v>100</v>
      </c>
      <c r="B46" s="6" t="s">
        <v>101</v>
      </c>
      <c r="C46" s="7" t="n">
        <f aca="false">C45*C23</f>
        <v>-0.0306415530566169</v>
      </c>
      <c r="D46" s="7" t="n">
        <f aca="false">C46</f>
        <v>-0.0306415530566169</v>
      </c>
      <c r="E46" s="6" t="s">
        <v>102</v>
      </c>
      <c r="F46" s="2"/>
      <c r="G46" s="2"/>
    </row>
    <row r="47" customFormat="false" ht="15" hidden="false" customHeight="false" outlineLevel="0" collapsed="false">
      <c r="A47" s="6" t="s">
        <v>103</v>
      </c>
      <c r="B47" s="6" t="s">
        <v>104</v>
      </c>
      <c r="C47" s="7" t="n">
        <f aca="false">C45*C27</f>
        <v>-0.031128450837098</v>
      </c>
      <c r="D47" s="7" t="n">
        <f aca="false">C47</f>
        <v>-0.031128450837098</v>
      </c>
      <c r="E47" s="6" t="s">
        <v>105</v>
      </c>
      <c r="F47" s="2"/>
      <c r="G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</row>
    <row r="50" customFormat="false" ht="15" hidden="false" customHeight="true" outlineLevel="0" collapsed="false">
      <c r="A50" s="4" t="s">
        <v>106</v>
      </c>
      <c r="B50" s="4"/>
      <c r="C50" s="4"/>
      <c r="D50" s="4"/>
      <c r="E50" s="4"/>
      <c r="F50" s="4"/>
      <c r="G50" s="2"/>
    </row>
    <row r="51" customFormat="false" ht="15" hidden="false" customHeight="false" outlineLevel="0" collapsed="false">
      <c r="A51" s="5" t="s">
        <v>34</v>
      </c>
      <c r="B51" s="5" t="s">
        <v>88</v>
      </c>
      <c r="C51" s="5" t="s">
        <v>89</v>
      </c>
      <c r="D51" s="5" t="s">
        <v>37</v>
      </c>
      <c r="E51" s="5" t="s">
        <v>90</v>
      </c>
      <c r="F51" s="5"/>
      <c r="G51" s="2"/>
    </row>
    <row r="52" customFormat="false" ht="15" hidden="false" customHeight="false" outlineLevel="0" collapsed="false">
      <c r="A52" s="6" t="s">
        <v>107</v>
      </c>
      <c r="B52" s="6" t="s">
        <v>108</v>
      </c>
      <c r="C52" s="7" t="n">
        <f aca="false">C45*B12</f>
        <v>-0.0407814619257648</v>
      </c>
      <c r="D52" s="7" t="n">
        <f aca="false">C52</f>
        <v>-0.0407814619257648</v>
      </c>
      <c r="E52" s="6" t="s">
        <v>109</v>
      </c>
      <c r="F52" s="2"/>
      <c r="G52" s="2"/>
    </row>
    <row r="53" customFormat="false" ht="15" hidden="false" customHeight="false" outlineLevel="0" collapsed="false">
      <c r="A53" s="6" t="s">
        <v>110</v>
      </c>
      <c r="B53" s="6" t="s">
        <v>111</v>
      </c>
      <c r="C53" s="7" t="n">
        <f aca="false">C23*(1-C23)</f>
        <v>0.239781240749937</v>
      </c>
      <c r="D53" s="7" t="n">
        <f aca="false">C53</f>
        <v>0.239781240749937</v>
      </c>
      <c r="E53" s="6" t="s">
        <v>96</v>
      </c>
      <c r="F53" s="2"/>
      <c r="G53" s="2"/>
    </row>
    <row r="54" customFormat="false" ht="15" hidden="false" customHeight="false" outlineLevel="0" collapsed="false">
      <c r="A54" s="6" t="s">
        <v>112</v>
      </c>
      <c r="B54" s="6" t="s">
        <v>113</v>
      </c>
      <c r="C54" s="7" t="n">
        <f aca="false">C52*C53</f>
        <v>-0.00977862954015622</v>
      </c>
      <c r="D54" s="7" t="n">
        <f aca="false">C54</f>
        <v>-0.00977862954015622</v>
      </c>
      <c r="E54" s="6" t="s">
        <v>114</v>
      </c>
      <c r="F54" s="2"/>
      <c r="G54" s="2"/>
    </row>
    <row r="55" customFormat="false" ht="15" hidden="false" customHeight="false" outlineLevel="0" collapsed="false">
      <c r="A55" s="6" t="s">
        <v>115</v>
      </c>
      <c r="B55" s="6" t="s">
        <v>116</v>
      </c>
      <c r="C55" s="7" t="n">
        <f aca="false">C54*B6</f>
        <v>-0.00488931477007811</v>
      </c>
      <c r="D55" s="7" t="n">
        <f aca="false">C55</f>
        <v>-0.00488931477007811</v>
      </c>
      <c r="E55" s="6" t="s">
        <v>117</v>
      </c>
      <c r="F55" s="2"/>
      <c r="G55" s="2"/>
    </row>
    <row r="56" customFormat="false" ht="15" hidden="false" customHeight="false" outlineLevel="0" collapsed="false">
      <c r="A56" s="6" t="s">
        <v>118</v>
      </c>
      <c r="B56" s="6" t="s">
        <v>119</v>
      </c>
      <c r="C56" s="7" t="n">
        <f aca="false">C54*B7</f>
        <v>-0.00293358886204687</v>
      </c>
      <c r="D56" s="7" t="n">
        <f aca="false">C56</f>
        <v>-0.00293358886204687</v>
      </c>
      <c r="E56" s="6" t="s">
        <v>120</v>
      </c>
      <c r="F56" s="2"/>
      <c r="G56" s="2"/>
    </row>
    <row r="57" customFormat="false" ht="15" hidden="false" customHeight="false" outlineLevel="0" collapsed="false">
      <c r="A57" s="6" t="s">
        <v>121</v>
      </c>
      <c r="B57" s="6" t="s">
        <v>122</v>
      </c>
      <c r="C57" s="7" t="n">
        <f aca="false">C45*B13</f>
        <v>-0.0458791446664854</v>
      </c>
      <c r="D57" s="7" t="n">
        <f aca="false">C57</f>
        <v>-0.0458791446664854</v>
      </c>
      <c r="E57" s="6" t="s">
        <v>123</v>
      </c>
      <c r="F57" s="2"/>
      <c r="G57" s="2"/>
    </row>
    <row r="58" customFormat="false" ht="15" hidden="false" customHeight="false" outlineLevel="0" collapsed="false">
      <c r="A58" s="6" t="s">
        <v>124</v>
      </c>
      <c r="B58" s="6" t="s">
        <v>125</v>
      </c>
      <c r="C58" s="7" t="n">
        <f aca="false">C27*(1-C27)</f>
        <v>0.237758959911129</v>
      </c>
      <c r="D58" s="7" t="n">
        <f aca="false">C58</f>
        <v>0.237758959911129</v>
      </c>
      <c r="E58" s="6" t="s">
        <v>96</v>
      </c>
      <c r="F58" s="2"/>
      <c r="G58" s="2"/>
    </row>
    <row r="59" customFormat="false" ht="15" hidden="false" customHeight="false" outlineLevel="0" collapsed="false">
      <c r="A59" s="6" t="s">
        <v>126</v>
      </c>
      <c r="B59" s="6" t="s">
        <v>127</v>
      </c>
      <c r="C59" s="7" t="n">
        <f aca="false">C57*C58</f>
        <v>-0.0109081777175158</v>
      </c>
      <c r="D59" s="7" t="n">
        <f aca="false">C59</f>
        <v>-0.0109081777175158</v>
      </c>
      <c r="E59" s="6" t="s">
        <v>128</v>
      </c>
      <c r="F59" s="2"/>
      <c r="G59" s="2"/>
    </row>
    <row r="60" customFormat="false" ht="15" hidden="false" customHeight="false" outlineLevel="0" collapsed="false">
      <c r="A60" s="6" t="s">
        <v>129</v>
      </c>
      <c r="B60" s="6" t="s">
        <v>130</v>
      </c>
      <c r="C60" s="7" t="n">
        <f aca="false">C59*B6</f>
        <v>-0.00545408885875791</v>
      </c>
      <c r="D60" s="7" t="n">
        <f aca="false">C60</f>
        <v>-0.00545408885875791</v>
      </c>
      <c r="E60" s="6" t="s">
        <v>131</v>
      </c>
      <c r="F60" s="2"/>
      <c r="G60" s="2"/>
    </row>
    <row r="61" customFormat="false" ht="15" hidden="false" customHeight="false" outlineLevel="0" collapsed="false">
      <c r="A61" s="6" t="s">
        <v>132</v>
      </c>
      <c r="B61" s="6" t="s">
        <v>133</v>
      </c>
      <c r="C61" s="7" t="n">
        <f aca="false">C59*B7</f>
        <v>-0.00327245331525474</v>
      </c>
      <c r="D61" s="7" t="n">
        <f aca="false">C61</f>
        <v>-0.00327245331525474</v>
      </c>
      <c r="E61" s="6" t="s">
        <v>134</v>
      </c>
      <c r="F61" s="2"/>
      <c r="G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</row>
    <row r="65" customFormat="false" ht="15" hidden="false" customHeight="true" outlineLevel="0" collapsed="false">
      <c r="A65" s="4" t="s">
        <v>135</v>
      </c>
      <c r="B65" s="4"/>
      <c r="C65" s="4"/>
      <c r="D65" s="4"/>
      <c r="E65" s="4"/>
      <c r="F65" s="4"/>
      <c r="G65" s="2"/>
    </row>
    <row r="66" customFormat="false" ht="15" hidden="false" customHeight="false" outlineLevel="0" collapsed="false">
      <c r="A66" s="5" t="s">
        <v>7</v>
      </c>
      <c r="B66" s="5" t="s">
        <v>136</v>
      </c>
      <c r="C66" s="5" t="s">
        <v>137</v>
      </c>
      <c r="D66" s="5" t="s">
        <v>138</v>
      </c>
      <c r="E66" s="5" t="s">
        <v>139</v>
      </c>
      <c r="F66" s="5" t="s">
        <v>140</v>
      </c>
      <c r="G66" s="2"/>
    </row>
    <row r="67" customFormat="false" ht="15" hidden="false" customHeight="false" outlineLevel="0" collapsed="false">
      <c r="A67" s="6" t="s">
        <v>12</v>
      </c>
      <c r="B67" s="7" t="n">
        <f aca="false">B8</f>
        <v>0.4</v>
      </c>
      <c r="C67" s="7" t="n">
        <f aca="false">C55</f>
        <v>-0.00488931477007811</v>
      </c>
      <c r="D67" s="7" t="n">
        <f aca="false">B15</f>
        <v>0.1</v>
      </c>
      <c r="E67" s="7" t="n">
        <f aca="false">B67-D67*C67</f>
        <v>0.400488931477008</v>
      </c>
      <c r="F67" s="6" t="s">
        <v>141</v>
      </c>
      <c r="G67" s="2"/>
    </row>
    <row r="68" customFormat="false" ht="15" hidden="false" customHeight="false" outlineLevel="0" collapsed="false">
      <c r="A68" s="6" t="s">
        <v>16</v>
      </c>
      <c r="B68" s="7" t="n">
        <f aca="false">B9</f>
        <v>0.6</v>
      </c>
      <c r="C68" s="7" t="n">
        <f aca="false">C60</f>
        <v>-0.00545408885875791</v>
      </c>
      <c r="D68" s="7" t="n">
        <f aca="false">B15</f>
        <v>0.1</v>
      </c>
      <c r="E68" s="7" t="n">
        <f aca="false">B68-D68*C68</f>
        <v>0.600545408885876</v>
      </c>
      <c r="F68" s="6" t="s">
        <v>141</v>
      </c>
      <c r="G68" s="2"/>
    </row>
    <row r="69" customFormat="false" ht="15" hidden="false" customHeight="false" outlineLevel="0" collapsed="false">
      <c r="A69" s="6" t="s">
        <v>19</v>
      </c>
      <c r="B69" s="7" t="n">
        <f aca="false">B10</f>
        <v>0.7</v>
      </c>
      <c r="C69" s="7" t="n">
        <f aca="false">C56</f>
        <v>-0.00293358886204687</v>
      </c>
      <c r="D69" s="7" t="n">
        <f aca="false">B15</f>
        <v>0.1</v>
      </c>
      <c r="E69" s="7" t="n">
        <f aca="false">B69-D69*C69</f>
        <v>0.700293358886205</v>
      </c>
      <c r="F69" s="6" t="s">
        <v>141</v>
      </c>
      <c r="G69" s="2"/>
    </row>
    <row r="70" customFormat="false" ht="15" hidden="false" customHeight="false" outlineLevel="0" collapsed="false">
      <c r="A70" s="6" t="s">
        <v>21</v>
      </c>
      <c r="B70" s="7" t="n">
        <f aca="false">B11</f>
        <v>0.5</v>
      </c>
      <c r="C70" s="7" t="n">
        <f aca="false">C61</f>
        <v>-0.00327245331525474</v>
      </c>
      <c r="D70" s="7" t="n">
        <f aca="false">B15</f>
        <v>0.1</v>
      </c>
      <c r="E70" s="7" t="n">
        <f aca="false">B70-D70*C70</f>
        <v>0.500327245331526</v>
      </c>
      <c r="F70" s="6" t="s">
        <v>141</v>
      </c>
      <c r="G70" s="2"/>
    </row>
    <row r="71" customFormat="false" ht="15" hidden="false" customHeight="false" outlineLevel="0" collapsed="false">
      <c r="A71" s="6" t="s">
        <v>23</v>
      </c>
      <c r="B71" s="7" t="n">
        <f aca="false">B12</f>
        <v>0.8</v>
      </c>
      <c r="C71" s="7" t="n">
        <f aca="false">C46</f>
        <v>-0.0306415530566169</v>
      </c>
      <c r="D71" s="7" t="n">
        <f aca="false">B15</f>
        <v>0.1</v>
      </c>
      <c r="E71" s="7" t="n">
        <f aca="false">B71-D71*C71</f>
        <v>0.803064155305662</v>
      </c>
      <c r="F71" s="6" t="s">
        <v>141</v>
      </c>
      <c r="G71" s="2"/>
    </row>
    <row r="72" customFormat="false" ht="15" hidden="false" customHeight="false" outlineLevel="0" collapsed="false">
      <c r="A72" s="6" t="s">
        <v>26</v>
      </c>
      <c r="B72" s="7" t="n">
        <f aca="false">B13</f>
        <v>0.9</v>
      </c>
      <c r="C72" s="7" t="n">
        <f aca="false">C47</f>
        <v>-0.031128450837098</v>
      </c>
      <c r="D72" s="7" t="n">
        <f aca="false">B15</f>
        <v>0.1</v>
      </c>
      <c r="E72" s="7" t="n">
        <f aca="false">B72-D72*C72</f>
        <v>0.90311284508371</v>
      </c>
      <c r="F72" s="6" t="s">
        <v>141</v>
      </c>
      <c r="G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</row>
    <row r="75" customFormat="false" ht="15" hidden="false" customHeight="true" outlineLevel="0" collapsed="false">
      <c r="A75" s="4" t="s">
        <v>142</v>
      </c>
      <c r="B75" s="4"/>
      <c r="C75" s="4"/>
      <c r="D75" s="4"/>
      <c r="E75" s="4"/>
      <c r="F75" s="4"/>
      <c r="G75" s="2"/>
    </row>
    <row r="76" customFormat="false" ht="15" hidden="false" customHeight="false" outlineLevel="0" collapsed="false">
      <c r="A76" s="5" t="s">
        <v>34</v>
      </c>
      <c r="B76" s="5" t="s">
        <v>35</v>
      </c>
      <c r="C76" s="5" t="s">
        <v>36</v>
      </c>
      <c r="D76" s="5" t="s">
        <v>37</v>
      </c>
      <c r="E76" s="5" t="s">
        <v>90</v>
      </c>
      <c r="F76" s="5"/>
      <c r="G76" s="2"/>
    </row>
    <row r="77" customFormat="false" ht="15" hidden="false" customHeight="false" outlineLevel="0" collapsed="false">
      <c r="A77" s="6" t="s">
        <v>143</v>
      </c>
      <c r="B77" s="6" t="s">
        <v>144</v>
      </c>
      <c r="C77" s="7" t="n">
        <f aca="false">B6*E67+B7*E69</f>
        <v>0.410332473404365</v>
      </c>
      <c r="D77" s="7" t="n">
        <f aca="false">C77</f>
        <v>0.410332473404365</v>
      </c>
      <c r="E77" s="6" t="s">
        <v>145</v>
      </c>
      <c r="F77" s="2"/>
      <c r="G77" s="2"/>
    </row>
    <row r="78" customFormat="false" ht="15" hidden="false" customHeight="false" outlineLevel="0" collapsed="false">
      <c r="A78" s="6" t="s">
        <v>146</v>
      </c>
      <c r="B78" s="6" t="s">
        <v>147</v>
      </c>
      <c r="C78" s="7" t="n">
        <f aca="false">1/(1+EXP(-C77))</f>
        <v>0.601167597053799</v>
      </c>
      <c r="D78" s="7" t="n">
        <f aca="false">C78</f>
        <v>0.601167597053799</v>
      </c>
      <c r="E78" s="6" t="s">
        <v>148</v>
      </c>
      <c r="F78" s="2"/>
      <c r="G78" s="2"/>
    </row>
    <row r="79" customFormat="false" ht="15" hidden="false" customHeight="false" outlineLevel="0" collapsed="false">
      <c r="A79" s="6" t="s">
        <v>149</v>
      </c>
      <c r="B79" s="6" t="s">
        <v>150</v>
      </c>
      <c r="C79" s="7" t="n">
        <f aca="false">B6*E68+B7*E70</f>
        <v>0.450370878042396</v>
      </c>
      <c r="D79" s="7" t="n">
        <f aca="false">C79</f>
        <v>0.450370878042396</v>
      </c>
      <c r="E79" s="6" t="s">
        <v>151</v>
      </c>
      <c r="F79" s="2"/>
      <c r="G79" s="2"/>
    </row>
    <row r="80" customFormat="false" ht="15" hidden="false" customHeight="false" outlineLevel="0" collapsed="false">
      <c r="A80" s="6" t="s">
        <v>152</v>
      </c>
      <c r="B80" s="6" t="s">
        <v>153</v>
      </c>
      <c r="C80" s="7" t="n">
        <f aca="false">1/(1+EXP(-C79))</f>
        <v>0.610727409907643</v>
      </c>
      <c r="D80" s="7" t="n">
        <f aca="false">C80</f>
        <v>0.610727409907643</v>
      </c>
      <c r="E80" s="6" t="s">
        <v>148</v>
      </c>
      <c r="F80" s="2"/>
      <c r="G80" s="2"/>
    </row>
    <row r="81" customFormat="false" ht="15" hidden="false" customHeight="false" outlineLevel="0" collapsed="false">
      <c r="A81" s="6" t="s">
        <v>154</v>
      </c>
      <c r="B81" s="6" t="s">
        <v>155</v>
      </c>
      <c r="C81" s="7" t="n">
        <f aca="false">C78*E71+C80*E72</f>
        <v>1.03433191725744</v>
      </c>
      <c r="D81" s="7" t="n">
        <f aca="false">C81</f>
        <v>1.03433191725744</v>
      </c>
      <c r="E81" s="6" t="s">
        <v>156</v>
      </c>
      <c r="F81" s="2"/>
      <c r="G81" s="2"/>
    </row>
    <row r="82" customFormat="false" ht="15" hidden="false" customHeight="false" outlineLevel="0" collapsed="false">
      <c r="A82" s="6" t="s">
        <v>157</v>
      </c>
      <c r="B82" s="6" t="s">
        <v>158</v>
      </c>
      <c r="C82" s="7" t="n">
        <f aca="false">1/(1+EXP(-C81))</f>
        <v>0.737754866003103</v>
      </c>
      <c r="D82" s="7" t="n">
        <f aca="false">C82</f>
        <v>0.737754866003103</v>
      </c>
      <c r="E82" s="6" t="s">
        <v>159</v>
      </c>
      <c r="F82" s="2"/>
      <c r="G82" s="2"/>
    </row>
    <row r="83" customFormat="false" ht="15" hidden="false" customHeight="false" outlineLevel="0" collapsed="false">
      <c r="A83" s="6" t="s">
        <v>160</v>
      </c>
      <c r="B83" s="6" t="s">
        <v>161</v>
      </c>
      <c r="C83" s="7" t="n">
        <f aca="false">0.5*(B14-C82)^2</f>
        <v>0.0343862551525253</v>
      </c>
      <c r="D83" s="7" t="n">
        <f aca="false">C83</f>
        <v>0.0343862551525253</v>
      </c>
      <c r="E83" s="6" t="s">
        <v>162</v>
      </c>
      <c r="F83" s="2"/>
      <c r="G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</row>
    <row r="86" customFormat="false" ht="15" hidden="false" customHeight="true" outlineLevel="0" collapsed="false">
      <c r="A86" s="4" t="s">
        <v>163</v>
      </c>
      <c r="B86" s="4"/>
      <c r="C86" s="4"/>
      <c r="D86" s="4"/>
      <c r="E86" s="4"/>
      <c r="F86" s="4"/>
      <c r="G86" s="2"/>
    </row>
    <row r="87" customFormat="false" ht="15" hidden="false" customHeight="false" outlineLevel="0" collapsed="false">
      <c r="A87" s="5" t="s">
        <v>164</v>
      </c>
      <c r="B87" s="5" t="s">
        <v>165</v>
      </c>
      <c r="C87" s="5" t="s">
        <v>166</v>
      </c>
      <c r="D87" s="5" t="s">
        <v>167</v>
      </c>
      <c r="E87" s="5" t="s">
        <v>168</v>
      </c>
      <c r="F87" s="5"/>
      <c r="G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</row>
    <row r="89" customFormat="false" ht="15" hidden="false" customHeight="false" outlineLevel="0" collapsed="false">
      <c r="A89" s="6" t="s">
        <v>169</v>
      </c>
      <c r="B89" s="7" t="n">
        <f aca="false">C31</f>
        <v>0.737002278209848</v>
      </c>
      <c r="C89" s="7" t="n">
        <f aca="false">C82</f>
        <v>0.737754866003103</v>
      </c>
      <c r="D89" s="7" t="n">
        <f aca="false">C89-B89</f>
        <v>0.000752587793254711</v>
      </c>
      <c r="E89" s="6" t="s">
        <v>170</v>
      </c>
      <c r="F89" s="2"/>
      <c r="G89" s="2"/>
    </row>
    <row r="90" customFormat="false" ht="15" hidden="false" customHeight="false" outlineLevel="0" collapsed="false">
      <c r="A90" s="6" t="s">
        <v>171</v>
      </c>
      <c r="B90" s="7" t="n">
        <f aca="false">C38</f>
        <v>0.0345839008334051</v>
      </c>
      <c r="C90" s="7" t="n">
        <f aca="false">C83</f>
        <v>0.0343862551525253</v>
      </c>
      <c r="D90" s="7" t="n">
        <f aca="false">C90-B90</f>
        <v>-0.000197645680879793</v>
      </c>
      <c r="E90" s="6" t="s">
        <v>172</v>
      </c>
      <c r="F90" s="2"/>
      <c r="G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</row>
    <row r="93" customFormat="false" ht="15" hidden="false" customHeight="true" outlineLevel="0" collapsed="false">
      <c r="A93" s="8" t="s">
        <v>173</v>
      </c>
      <c r="B93" s="8"/>
      <c r="C93" s="8"/>
      <c r="D93" s="8"/>
      <c r="E93" s="8"/>
      <c r="F93" s="8"/>
      <c r="G93" s="2"/>
    </row>
  </sheetData>
  <mergeCells count="12">
    <mergeCell ref="A1:F1"/>
    <mergeCell ref="A2:F2"/>
    <mergeCell ref="A4:C4"/>
    <mergeCell ref="E4:F4"/>
    <mergeCell ref="A18:F18"/>
    <mergeCell ref="A34:F34"/>
    <mergeCell ref="A41:F41"/>
    <mergeCell ref="A50:F50"/>
    <mergeCell ref="A65:F65"/>
    <mergeCell ref="A75:F75"/>
    <mergeCell ref="A86:F86"/>
    <mergeCell ref="A93:F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40"/>
    <col collapsed="false" customWidth="true" hidden="false" outlineLevel="0" max="4" min="4" style="0" width="25"/>
  </cols>
  <sheetData>
    <row r="1" customFormat="false" ht="19.7" hidden="false" customHeight="true" outlineLevel="0" collapsed="false">
      <c r="A1" s="1" t="s">
        <v>174</v>
      </c>
      <c r="B1" s="1"/>
      <c r="C1" s="1"/>
      <c r="D1" s="1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5" t="s">
        <v>175</v>
      </c>
      <c r="B3" s="5" t="s">
        <v>89</v>
      </c>
      <c r="C3" s="5" t="s">
        <v>176</v>
      </c>
      <c r="D3" s="5" t="s">
        <v>177</v>
      </c>
    </row>
    <row r="4" customFormat="false" ht="15" hidden="false" customHeight="false" outlineLevel="0" collapsed="false">
      <c r="A4" s="6" t="s">
        <v>178</v>
      </c>
      <c r="B4" s="6" t="s">
        <v>179</v>
      </c>
      <c r="C4" s="6" t="s">
        <v>180</v>
      </c>
      <c r="D4" s="6" t="s">
        <v>181</v>
      </c>
    </row>
    <row r="5" customFormat="false" ht="15" hidden="false" customHeight="false" outlineLevel="0" collapsed="false">
      <c r="A5" s="6" t="s">
        <v>182</v>
      </c>
      <c r="B5" s="6" t="s">
        <v>183</v>
      </c>
      <c r="C5" s="6" t="s">
        <v>184</v>
      </c>
      <c r="D5" s="6" t="s">
        <v>181</v>
      </c>
    </row>
    <row r="6" customFormat="false" ht="15" hidden="false" customHeight="false" outlineLevel="0" collapsed="false">
      <c r="A6" s="6" t="s">
        <v>185</v>
      </c>
      <c r="B6" s="6" t="s">
        <v>186</v>
      </c>
      <c r="C6" s="6" t="s">
        <v>187</v>
      </c>
      <c r="D6" s="6" t="s">
        <v>181</v>
      </c>
    </row>
    <row r="7" customFormat="false" ht="15" hidden="false" customHeight="false" outlineLevel="0" collapsed="false">
      <c r="A7" s="6" t="s">
        <v>188</v>
      </c>
      <c r="B7" s="6" t="s">
        <v>189</v>
      </c>
      <c r="C7" s="6" t="s">
        <v>169</v>
      </c>
      <c r="D7" s="6" t="s">
        <v>181</v>
      </c>
    </row>
    <row r="8" customFormat="false" ht="15" hidden="false" customHeight="false" outlineLevel="0" collapsed="false">
      <c r="A8" s="6" t="s">
        <v>171</v>
      </c>
      <c r="B8" s="6" t="s">
        <v>190</v>
      </c>
      <c r="C8" s="6" t="s">
        <v>191</v>
      </c>
      <c r="D8" s="6" t="s">
        <v>171</v>
      </c>
    </row>
    <row r="9" customFormat="false" ht="15" hidden="false" customHeight="false" outlineLevel="0" collapsed="false">
      <c r="A9" s="6" t="s">
        <v>96</v>
      </c>
      <c r="B9" s="6" t="s">
        <v>192</v>
      </c>
      <c r="C9" s="6" t="s">
        <v>193</v>
      </c>
      <c r="D9" s="6" t="s">
        <v>194</v>
      </c>
    </row>
    <row r="10" customFormat="false" ht="15" hidden="false" customHeight="false" outlineLevel="0" collapsed="false">
      <c r="A10" s="6" t="s">
        <v>195</v>
      </c>
      <c r="B10" s="6" t="s">
        <v>196</v>
      </c>
      <c r="C10" s="6" t="s">
        <v>99</v>
      </c>
      <c r="D10" s="6" t="s">
        <v>194</v>
      </c>
    </row>
    <row r="11" customFormat="false" ht="15" hidden="false" customHeight="false" outlineLevel="0" collapsed="false">
      <c r="A11" s="6" t="s">
        <v>197</v>
      </c>
      <c r="B11" s="6" t="s">
        <v>198</v>
      </c>
      <c r="C11" s="6" t="s">
        <v>199</v>
      </c>
      <c r="D11" s="6" t="s">
        <v>194</v>
      </c>
    </row>
    <row r="12" customFormat="false" ht="15" hidden="false" customHeight="false" outlineLevel="0" collapsed="false">
      <c r="A12" s="6" t="s">
        <v>200</v>
      </c>
      <c r="B12" s="6" t="s">
        <v>201</v>
      </c>
      <c r="C12" s="6" t="s">
        <v>202</v>
      </c>
      <c r="D12" s="6" t="s">
        <v>194</v>
      </c>
    </row>
    <row r="13" customFormat="false" ht="15" hidden="false" customHeight="false" outlineLevel="0" collapsed="false">
      <c r="A13" s="6" t="s">
        <v>203</v>
      </c>
      <c r="B13" s="6" t="s">
        <v>204</v>
      </c>
      <c r="C13" s="6" t="s">
        <v>205</v>
      </c>
      <c r="D13" s="6" t="s">
        <v>206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2026-09-17T16:43:05Z</dcterms:created>
  <dc:creator>openpyxl</dc:creator>
  <dc:description/>
  <dc:language>en-US</dc:language>
  <cp:lastModifiedBy/>
  <dcterms:modified xsi:type="dcterms:W3CDTF">2026-09-17T16:43:05Z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